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GITHUB\Quote Generator\"/>
    </mc:Choice>
  </mc:AlternateContent>
  <xr:revisionPtr revIDLastSave="0" documentId="13_ncr:1_{DF3A65AA-DC27-4515-94EB-647D4B36676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ill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" l="1"/>
  <c r="G17" i="1"/>
  <c r="G16" i="1"/>
  <c r="G15" i="1"/>
  <c r="G14" i="1"/>
  <c r="G13" i="1"/>
  <c r="G12" i="1"/>
  <c r="G11" i="1"/>
  <c r="G18" i="1" s="1"/>
  <c r="L1" i="1" s="1"/>
  <c r="L2" i="1" s="1"/>
  <c r="L3" i="1" s="1"/>
  <c r="E9" i="1"/>
</calcChain>
</file>

<file path=xl/sharedStrings.xml><?xml version="1.0" encoding="utf-8"?>
<sst xmlns="http://schemas.openxmlformats.org/spreadsheetml/2006/main" count="22" uniqueCount="22">
  <si>
    <t>Expert: FirstName LastName. Bank: SAMPLE BANK. Account: SAMPLE ACCOUNT. CLABE: SAMPLE CLABE</t>
  </si>
  <si>
    <t>Importe:</t>
  </si>
  <si>
    <t>IVA:</t>
  </si>
  <si>
    <t>Quote-SAMPLE-001</t>
  </si>
  <si>
    <t>Total a pagar:</t>
  </si>
  <si>
    <t>C:\Users\Daniel\Documents\Peritajes\</t>
  </si>
  <si>
    <t>MEXICO CITY, JUNE 20, 2023</t>
  </si>
  <si>
    <t>CIVIL LAWSUIT CASE FILE 14/XXX</t>
  </si>
  <si>
    <t>FEDERAL DISTRICT COURT – SAMPLE COURT</t>
  </si>
  <si>
    <t>Fee calculation based on the applicable professional fee schedule. Replace this sample text with the legal basis applicable to your case.</t>
  </si>
  <si>
    <t>MATERIA INGENIERÍA Y AFINES</t>
  </si>
  <si>
    <t>TIEMPO
(horas)</t>
  </si>
  <si>
    <t>IMPORTE
(MXN)</t>
  </si>
  <si>
    <t>Case file review. Location: Court.</t>
  </si>
  <si>
    <t>Analysis and planning of responses to the first set of questions. Location: Expert's office.</t>
  </si>
  <si>
    <t>Analysis and planning of responses to the second set of questions. Location: Expert's office.</t>
  </si>
  <si>
    <t>Inspection of vehicle components or equivalent evidence. Location: Field site.</t>
  </si>
  <si>
    <t>Preparation of responses to the first set of questions. Location: Expert's office.</t>
  </si>
  <si>
    <t>Preparation of responses to the second set of questions. Location: Expert's office.</t>
  </si>
  <si>
    <t>Preparation of expert report with responses. Location: Expert's office.</t>
  </si>
  <si>
    <t>SUBTOTAL</t>
  </si>
  <si>
    <t>A pagar TREINTA MIL DOSCIENTOS NUEVE 08/100 MN más IVA del 16% CUATRO MIL OCHOCIENTOS TREINTA Y TRES 45/100 MN para dar un total de TREINTA Y CINCO MIL CUARENTA Y DOS 53/100 MN. Expert: FirstName LastName. Bank: SAMPLE BANK. Account: SAMPLE ACCOUNT. CLABE: SAMPLE CLABE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</si>
</sst>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164" fontId="0" fillId="0" borderId="1" xfId="1" applyFont="1" applyBorder="1" applyAlignment="1">
      <alignment horizontal="center"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164" fontId="0" fillId="0" borderId="2" xfId="1" applyFont="1" applyBorder="1" applyAlignment="1">
      <alignment horizontal="center" vertical="center"/>
    </xf>
    <xf numFmtId="0" fontId="0" fillId="0" borderId="3" xfId="0" applyBorder="1" applyAlignment="1">
      <alignment horizontal="right" vertical="center"/>
    </xf>
    <xf numFmtId="0" fontId="0" fillId="0" borderId="3" xfId="0" applyBorder="1" applyAlignment="1">
      <alignment horizontal="center" vertical="center"/>
    </xf>
    <xf numFmtId="164" fontId="0" fillId="0" borderId="3" xfId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0" fillId="0" borderId="0" xfId="0" applyAlignment="1">
      <alignment horizontal="right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right" vertical="center"/>
    </xf>
    <xf numFmtId="164" fontId="0" fillId="0" borderId="5" xfId="0" applyNumberFormat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164" fontId="0" fillId="0" borderId="7" xfId="0" applyNumberFormat="1" applyBorder="1" applyAlignment="1">
      <alignment horizontal="right" vertical="center"/>
    </xf>
    <xf numFmtId="0" fontId="2" fillId="0" borderId="8" xfId="0" applyFont="1" applyBorder="1" applyAlignment="1">
      <alignment horizontal="right" vertical="center"/>
    </xf>
    <xf numFmtId="164" fontId="2" fillId="0" borderId="9" xfId="0" applyNumberFormat="1" applyFont="1" applyBorder="1" applyAlignment="1">
      <alignment horizontal="right" vertical="center"/>
    </xf>
    <xf numFmtId="164" fontId="0" fillId="0" borderId="0" xfId="1" applyFont="1" applyAlignment="1">
      <alignment horizontal="right"/>
    </xf>
    <xf numFmtId="0" fontId="0" fillId="0" borderId="10" xfId="0" applyBorder="1" applyAlignment="1">
      <alignment horizontal="center"/>
    </xf>
    <xf numFmtId="0" fontId="0" fillId="0" borderId="10" xfId="0" applyBorder="1"/>
    <xf numFmtId="0" fontId="0" fillId="0" borderId="7" xfId="0" applyBorder="1" applyAlignment="1">
      <alignment horizontal="left" vertical="center"/>
    </xf>
    <xf numFmtId="0" fontId="0" fillId="0" borderId="7" xfId="0" applyBorder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14</xdr:row>
          <xdr:rowOff>0</xdr:rowOff>
        </xdr:from>
        <xdr:to>
          <xdr:col>10</xdr:col>
          <xdr:colOff>476250</xdr:colOff>
          <xdr:row>16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2AB84C5-0ADD-733D-B390-079D7B54DA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WORD FILE</a:t>
              </a:r>
            </a:p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</a:t>
              </a:r>
              <a:r>
                <a:rPr lang="es-MX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Verify that the file is not open</a:t>
              </a: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</xdr:colOff>
      <xdr:row>1</xdr:row>
      <xdr:rowOff>179087</xdr:rowOff>
    </xdr:from>
    <xdr:to>
      <xdr:col>8</xdr:col>
      <xdr:colOff>496615</xdr:colOff>
      <xdr:row>2</xdr:row>
      <xdr:rowOff>179152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EA74120-5CC2-4A64-9349-1188BD58C2B3}"/>
            </a:ext>
          </a:extLst>
        </xdr:cNvPr>
        <xdr:cNvSpPr/>
      </xdr:nvSpPr>
      <xdr:spPr>
        <a:xfrm>
          <a:off x="6115051" y="369587"/>
          <a:ext cx="2525439" cy="19056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Modify if necessary</a:t>
          </a:r>
          <a:endParaRPr lang="es-MX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1</xdr:colOff>
      <xdr:row>3</xdr:row>
      <xdr:rowOff>184342</xdr:rowOff>
    </xdr:from>
    <xdr:to>
      <xdr:col>8</xdr:col>
      <xdr:colOff>38101</xdr:colOff>
      <xdr:row>4</xdr:row>
      <xdr:rowOff>154913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969BA56-9F2D-4D55-B1E5-04915C400B7F}"/>
            </a:ext>
          </a:extLst>
        </xdr:cNvPr>
        <xdr:cNvSpPr/>
      </xdr:nvSpPr>
      <xdr:spPr>
        <a:xfrm>
          <a:off x="6115051" y="765367"/>
          <a:ext cx="2066925" cy="16107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Modify if necessary</a:t>
          </a:r>
          <a:endParaRPr lang="es-MX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1</xdr:colOff>
      <xdr:row>4</xdr:row>
      <xdr:rowOff>179086</xdr:rowOff>
    </xdr:from>
    <xdr:to>
      <xdr:col>8</xdr:col>
      <xdr:colOff>38101</xdr:colOff>
      <xdr:row>5</xdr:row>
      <xdr:rowOff>149657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80634FF-D356-4784-B21F-404E8DA80694}"/>
            </a:ext>
          </a:extLst>
        </xdr:cNvPr>
        <xdr:cNvSpPr/>
      </xdr:nvSpPr>
      <xdr:spPr>
        <a:xfrm>
          <a:off x="6115051" y="950611"/>
          <a:ext cx="2066925" cy="16107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Modify if necessary</a:t>
          </a:r>
          <a:endParaRPr lang="es-MX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0</xdr:colOff>
      <xdr:row>0</xdr:row>
      <xdr:rowOff>182880</xdr:rowOff>
    </xdr:from>
    <xdr:to>
      <xdr:col>8</xdr:col>
      <xdr:colOff>522455</xdr:colOff>
      <xdr:row>1</xdr:row>
      <xdr:rowOff>148287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83E88E7-DF62-4AFE-AAC8-072DA7F31395}"/>
            </a:ext>
          </a:extLst>
        </xdr:cNvPr>
        <xdr:cNvSpPr/>
      </xdr:nvSpPr>
      <xdr:spPr>
        <a:xfrm>
          <a:off x="6115050" y="182880"/>
          <a:ext cx="2551280" cy="155907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Modify if necessary</a:t>
          </a:r>
          <a:endParaRPr lang="es-MX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0</xdr:colOff>
      <xdr:row>0</xdr:row>
      <xdr:rowOff>7620</xdr:rowOff>
    </xdr:from>
    <xdr:to>
      <xdr:col>8</xdr:col>
      <xdr:colOff>522455</xdr:colOff>
      <xdr:row>0</xdr:row>
      <xdr:rowOff>171147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9C31941-62C9-4C4E-A666-D54CFA5FB64D}"/>
            </a:ext>
          </a:extLst>
        </xdr:cNvPr>
        <xdr:cNvSpPr/>
      </xdr:nvSpPr>
      <xdr:spPr>
        <a:xfrm>
          <a:off x="6115050" y="7620"/>
          <a:ext cx="2551280" cy="163527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>
              <a:solidFill>
                <a:srgbClr val="FF0000"/>
              </a:solidFill>
            </a:rPr>
            <a:t>Modify if necessary</a:t>
          </a:r>
        </a:p>
      </xdr:txBody>
    </xdr:sp>
    <xdr:clientData/>
  </xdr:twoCellAnchor>
  <xdr:twoCellAnchor>
    <xdr:from>
      <xdr:col>8</xdr:col>
      <xdr:colOff>704851</xdr:colOff>
      <xdr:row>3</xdr:row>
      <xdr:rowOff>148606</xdr:rowOff>
    </xdr:from>
    <xdr:to>
      <xdr:col>11</xdr:col>
      <xdr:colOff>441961</xdr:colOff>
      <xdr:row>6</xdr:row>
      <xdr:rowOff>116287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2B4DE18-EB8A-4E59-A63B-9595968E333F}"/>
            </a:ext>
          </a:extLst>
        </xdr:cNvPr>
        <xdr:cNvSpPr/>
      </xdr:nvSpPr>
      <xdr:spPr>
        <a:xfrm>
          <a:off x="8848726" y="729631"/>
          <a:ext cx="2127885" cy="5391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>
              <a:solidFill>
                <a:srgbClr val="FF0000"/>
              </a:solidFill>
            </a:rPr>
            <a:t>This cell is automatically filled out</a:t>
          </a:r>
        </a:p>
      </xdr:txBody>
    </xdr:sp>
    <xdr:clientData/>
  </xdr:twoCellAnchor>
  <xdr:twoCellAnchor>
    <xdr:from>
      <xdr:col>9</xdr:col>
      <xdr:colOff>330772</xdr:colOff>
      <xdr:row>3</xdr:row>
      <xdr:rowOff>31804</xdr:rowOff>
    </xdr:from>
    <xdr:to>
      <xdr:col>9</xdr:col>
      <xdr:colOff>330772</xdr:colOff>
      <xdr:row>4</xdr:row>
      <xdr:rowOff>169627</xdr:rowOff>
    </xdr:to>
    <xdr:cxnSp macro="">
      <xdr:nvCxnSpPr>
        <xdr:cNvPr id="8" name="Straight Arrow Connector 8">
          <a:extLst>
            <a:ext uri="{FF2B5EF4-FFF2-40B4-BE49-F238E27FC236}">
              <a16:creationId xmlns:a16="http://schemas.microsoft.com/office/drawing/2014/main" id="{DA567F76-A95A-45A4-BC8E-71756B584999}"/>
            </a:ext>
          </a:extLst>
        </xdr:cNvPr>
        <xdr:cNvCxnSpPr/>
      </xdr:nvCxnSpPr>
      <xdr:spPr>
        <a:xfrm flipV="1">
          <a:off x="9217597" y="612829"/>
          <a:ext cx="0" cy="32832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15241</xdr:colOff>
      <xdr:row>9</xdr:row>
      <xdr:rowOff>72406</xdr:rowOff>
    </xdr:from>
    <xdr:to>
      <xdr:col>9</xdr:col>
      <xdr:colOff>679494</xdr:colOff>
      <xdr:row>13</xdr:row>
      <xdr:rowOff>169627</xdr:rowOff>
    </xdr:to>
    <xdr:sp macro="" textlink="">
      <xdr:nvSpPr>
        <xdr:cNvPr id="9" name="Rectangle: Rounded Corners 9">
          <a:extLst>
            <a:ext uri="{FF2B5EF4-FFF2-40B4-BE49-F238E27FC236}">
              <a16:creationId xmlns:a16="http://schemas.microsoft.com/office/drawing/2014/main" id="{87256FA3-2E84-4FE6-9F53-9EEA05FBCD30}"/>
            </a:ext>
          </a:extLst>
        </xdr:cNvPr>
        <xdr:cNvSpPr/>
      </xdr:nvSpPr>
      <xdr:spPr>
        <a:xfrm>
          <a:off x="7549516" y="1796431"/>
          <a:ext cx="2016803" cy="162122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>
              <a:solidFill>
                <a:srgbClr val="FF0000"/>
              </a:solidFill>
            </a:rPr>
            <a:t>insert necessary rows and </a:t>
          </a:r>
          <a:r>
            <a:rPr lang="en-US" sz="1100" baseline="0">
              <a:solidFill>
                <a:srgbClr val="FF0000"/>
              </a:solidFill>
            </a:rPr>
            <a:t>modify the macro to get the actual range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1</xdr:colOff>
      <xdr:row>5</xdr:row>
      <xdr:rowOff>186706</xdr:rowOff>
    </xdr:from>
    <xdr:to>
      <xdr:col>8</xdr:col>
      <xdr:colOff>38101</xdr:colOff>
      <xdr:row>6</xdr:row>
      <xdr:rowOff>157277</xdr:rowOff>
    </xdr:to>
    <xdr:sp macro="" textlink="">
      <xdr:nvSpPr>
        <xdr:cNvPr id="11" name="Rectangle: Rounded Corners 13">
          <a:extLst>
            <a:ext uri="{FF2B5EF4-FFF2-40B4-BE49-F238E27FC236}">
              <a16:creationId xmlns:a16="http://schemas.microsoft.com/office/drawing/2014/main" id="{A5A985CE-5F2F-4BAD-ACA6-DB0989BA75DC}"/>
            </a:ext>
          </a:extLst>
        </xdr:cNvPr>
        <xdr:cNvSpPr/>
      </xdr:nvSpPr>
      <xdr:spPr>
        <a:xfrm>
          <a:off x="6115051" y="1148731"/>
          <a:ext cx="2066925" cy="16107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Modify if necessary</a:t>
          </a:r>
          <a:endParaRPr lang="es-MX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0</xdr:colOff>
      <xdr:row>6</xdr:row>
      <xdr:rowOff>184867</xdr:rowOff>
    </xdr:from>
    <xdr:to>
      <xdr:col>11</xdr:col>
      <xdr:colOff>443273</xdr:colOff>
      <xdr:row>7</xdr:row>
      <xdr:rowOff>149657</xdr:rowOff>
    </xdr:to>
    <xdr:sp macro="" textlink="">
      <xdr:nvSpPr>
        <xdr:cNvPr id="12" name="Rectangle: Rounded Corners 14">
          <a:extLst>
            <a:ext uri="{FF2B5EF4-FFF2-40B4-BE49-F238E27FC236}">
              <a16:creationId xmlns:a16="http://schemas.microsoft.com/office/drawing/2014/main" id="{CA5450AD-E8A2-484E-810A-3A2A4D295B16}"/>
            </a:ext>
          </a:extLst>
        </xdr:cNvPr>
        <xdr:cNvSpPr/>
      </xdr:nvSpPr>
      <xdr:spPr>
        <a:xfrm>
          <a:off x="6115050" y="1337392"/>
          <a:ext cx="4862873" cy="15529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>
              <a:solidFill>
                <a:srgbClr val="FF0000"/>
              </a:solidFill>
            </a:rPr>
            <a:t>Verify that this cell contains the</a:t>
          </a:r>
          <a:r>
            <a:rPr lang="en-US" sz="1100" baseline="0">
              <a:solidFill>
                <a:srgbClr val="FF0000"/>
              </a:solidFill>
            </a:rPr>
            <a:t> same quantity of</a:t>
          </a:r>
          <a:r>
            <a:rPr lang="en-US" sz="1100">
              <a:solidFill>
                <a:srgbClr val="FF0000"/>
              </a:solidFill>
            </a:rPr>
            <a:t> cell E2</a:t>
          </a:r>
        </a:p>
      </xdr:txBody>
    </xdr:sp>
    <xdr:clientData/>
  </xdr:twoCellAnchor>
  <xdr:twoCellAnchor>
    <xdr:from>
      <xdr:col>5</xdr:col>
      <xdr:colOff>1</xdr:colOff>
      <xdr:row>2</xdr:row>
      <xdr:rowOff>182980</xdr:rowOff>
    </xdr:from>
    <xdr:to>
      <xdr:col>8</xdr:col>
      <xdr:colOff>37237</xdr:colOff>
      <xdr:row>3</xdr:row>
      <xdr:rowOff>145115</xdr:rowOff>
    </xdr:to>
    <xdr:sp macro="" textlink="">
      <xdr:nvSpPr>
        <xdr:cNvPr id="13" name="Rectangle: Rounded Corners 15">
          <a:extLst>
            <a:ext uri="{FF2B5EF4-FFF2-40B4-BE49-F238E27FC236}">
              <a16:creationId xmlns:a16="http://schemas.microsoft.com/office/drawing/2014/main" id="{05512117-A972-48EB-A106-F523D7D272AC}"/>
            </a:ext>
          </a:extLst>
        </xdr:cNvPr>
        <xdr:cNvSpPr/>
      </xdr:nvSpPr>
      <xdr:spPr>
        <a:xfrm>
          <a:off x="6115051" y="563980"/>
          <a:ext cx="2066061" cy="16216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Modify if necessary</a:t>
          </a:r>
          <a:endParaRPr lang="es-MX">
            <a:solidFill>
              <a:srgbClr val="FF0000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E1:L23"/>
  <sheetViews>
    <sheetView tabSelected="1" zoomScaleNormal="100" workbookViewId="0">
      <selection activeCell="E8" sqref="E8"/>
    </sheetView>
  </sheetViews>
  <sheetFormatPr baseColWidth="10" defaultColWidth="9.140625" defaultRowHeight="15" x14ac:dyDescent="0.25"/>
  <cols>
    <col min="5" max="5" width="55.140625" bestFit="1" customWidth="1"/>
    <col min="6" max="6" width="9.7109375" customWidth="1"/>
    <col min="7" max="7" width="11.5703125" bestFit="1" customWidth="1"/>
    <col min="9" max="9" width="11.140625" customWidth="1"/>
    <col min="10" max="10" width="12.28515625" bestFit="1" customWidth="1"/>
    <col min="11" max="11" width="12.42578125" bestFit="1" customWidth="1"/>
    <col min="12" max="12" width="11.42578125" bestFit="1" customWidth="1"/>
  </cols>
  <sheetData>
    <row r="1" spans="5:12" x14ac:dyDescent="0.25">
      <c r="E1" s="13" t="s">
        <v>0</v>
      </c>
      <c r="J1" s="24" t="s">
        <v>21</v>
      </c>
      <c r="K1" s="15" t="s">
        <v>1</v>
      </c>
      <c r="L1" s="16">
        <f>G18</f>
        <v>30209.075000000001</v>
      </c>
    </row>
    <row r="2" spans="5:12" x14ac:dyDescent="0.25">
      <c r="E2" s="21">
        <v>929.51</v>
      </c>
      <c r="J2" s="25"/>
      <c r="K2" s="17" t="s">
        <v>2</v>
      </c>
      <c r="L2" s="18">
        <f>L1*0.16</f>
        <v>4833.4520000000002</v>
      </c>
    </row>
    <row r="3" spans="5:12" ht="15.75" customHeight="1" thickBot="1" x14ac:dyDescent="0.3">
      <c r="E3" s="13" t="s">
        <v>3</v>
      </c>
      <c r="J3" s="25"/>
      <c r="K3" s="19" t="s">
        <v>4</v>
      </c>
      <c r="L3" s="20">
        <f>L2+L1</f>
        <v>35042.527000000002</v>
      </c>
    </row>
    <row r="4" spans="5:12" x14ac:dyDescent="0.25">
      <c r="E4" s="13" t="s">
        <v>5</v>
      </c>
    </row>
    <row r="5" spans="5:12" x14ac:dyDescent="0.25">
      <c r="E5" s="12" t="s">
        <v>6</v>
      </c>
    </row>
    <row r="6" spans="5:12" x14ac:dyDescent="0.25">
      <c r="E6" s="12" t="s">
        <v>7</v>
      </c>
    </row>
    <row r="7" spans="5:12" x14ac:dyDescent="0.25">
      <c r="E7" s="12" t="s">
        <v>8</v>
      </c>
    </row>
    <row r="8" spans="5:12" x14ac:dyDescent="0.25">
      <c r="E8" s="11" t="s">
        <v>9</v>
      </c>
    </row>
    <row r="9" spans="5:12" x14ac:dyDescent="0.25">
      <c r="E9" s="22" t="str">
        <f>"HONORARIOS PROFESIONALES $"&amp;E2&amp;" POR HORA"</f>
        <v>HONORARIOS PROFESIONALES $929.51 POR HORA</v>
      </c>
      <c r="F9" s="23"/>
      <c r="G9" s="23"/>
    </row>
    <row r="10" spans="5:12" ht="30" customHeight="1" x14ac:dyDescent="0.25">
      <c r="E10" s="9" t="s">
        <v>10</v>
      </c>
      <c r="F10" s="14" t="s">
        <v>11</v>
      </c>
      <c r="G10" s="14" t="s">
        <v>12</v>
      </c>
    </row>
    <row r="11" spans="5:12" ht="30" customHeight="1" x14ac:dyDescent="0.25">
      <c r="E11" s="3" t="s">
        <v>13</v>
      </c>
      <c r="F11" s="2">
        <v>6</v>
      </c>
      <c r="G11" s="4">
        <f t="shared" ref="G11:G17" si="0">F11*$E$2</f>
        <v>5577.0599999999995</v>
      </c>
    </row>
    <row r="12" spans="5:12" ht="30" customHeight="1" x14ac:dyDescent="0.25">
      <c r="E12" s="3" t="s">
        <v>14</v>
      </c>
      <c r="F12" s="2">
        <v>4</v>
      </c>
      <c r="G12" s="4">
        <f t="shared" si="0"/>
        <v>3718.04</v>
      </c>
    </row>
    <row r="13" spans="5:12" ht="30" customHeight="1" x14ac:dyDescent="0.25">
      <c r="E13" s="3" t="s">
        <v>15</v>
      </c>
      <c r="F13" s="2">
        <v>1</v>
      </c>
      <c r="G13" s="4">
        <f t="shared" si="0"/>
        <v>929.51</v>
      </c>
    </row>
    <row r="14" spans="5:12" ht="30" customHeight="1" x14ac:dyDescent="0.25">
      <c r="E14" s="3" t="s">
        <v>16</v>
      </c>
      <c r="F14" s="2">
        <v>5</v>
      </c>
      <c r="G14" s="4">
        <f t="shared" si="0"/>
        <v>4647.55</v>
      </c>
    </row>
    <row r="15" spans="5:12" ht="30" customHeight="1" x14ac:dyDescent="0.25">
      <c r="E15" s="3" t="s">
        <v>17</v>
      </c>
      <c r="F15" s="2">
        <v>10</v>
      </c>
      <c r="G15" s="4">
        <f t="shared" si="0"/>
        <v>9295.1</v>
      </c>
    </row>
    <row r="16" spans="5:12" ht="30" customHeight="1" x14ac:dyDescent="0.25">
      <c r="E16" s="3" t="s">
        <v>18</v>
      </c>
      <c r="F16" s="2">
        <v>4.5</v>
      </c>
      <c r="G16" s="4">
        <f t="shared" si="0"/>
        <v>4182.7950000000001</v>
      </c>
    </row>
    <row r="17" spans="5:7" ht="30.75" customHeight="1" thickBot="1" x14ac:dyDescent="0.3">
      <c r="E17" s="5" t="s">
        <v>19</v>
      </c>
      <c r="F17" s="6">
        <v>2</v>
      </c>
      <c r="G17" s="7">
        <f t="shared" si="0"/>
        <v>1859.02</v>
      </c>
    </row>
    <row r="18" spans="5:7" ht="15.75" customHeight="1" thickTop="1" x14ac:dyDescent="0.25">
      <c r="E18" s="8" t="s">
        <v>20</v>
      </c>
      <c r="F18" s="9">
        <f>SUM(F11:F17)</f>
        <v>32.5</v>
      </c>
      <c r="G18" s="10">
        <f>SUM(G11:G17)</f>
        <v>30209.075000000001</v>
      </c>
    </row>
    <row r="21" spans="5:7" x14ac:dyDescent="0.25">
      <c r="E21" s="1"/>
    </row>
    <row r="23" spans="5:7" x14ac:dyDescent="0.25">
      <c r="F23" s="1"/>
      <c r="G23" s="1"/>
    </row>
  </sheetData>
  <mergeCells count="2">
    <mergeCell ref="E9:G9"/>
    <mergeCell ref="J1:J3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asteTableInWord">
                <anchor moveWithCells="1" sizeWithCells="1">
                  <from>
                    <xdr:col>7</xdr:col>
                    <xdr:colOff>276225</xdr:colOff>
                    <xdr:row>14</xdr:row>
                    <xdr:rowOff>0</xdr:rowOff>
                  </from>
                  <to>
                    <xdr:col>10</xdr:col>
                    <xdr:colOff>476250</xdr:colOff>
                    <xdr:row>16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Fill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Briseno Urbina Daniel Antonio (FCA)</dc:creator>
  <cp:lastModifiedBy>Daniel Briseño</cp:lastModifiedBy>
  <dcterms:created xsi:type="dcterms:W3CDTF">2023-06-19T19:31:29Z</dcterms:created>
  <dcterms:modified xsi:type="dcterms:W3CDTF">2026-10-07T19:49:26Z</dcterms:modified>
</cp:coreProperties>
</file>